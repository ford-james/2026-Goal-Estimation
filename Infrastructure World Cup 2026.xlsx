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025395866\Desktop\"/>
    </mc:Choice>
  </mc:AlternateContent>
  <xr:revisionPtr revIDLastSave="0" documentId="8_{41494C74-38E6-4886-B541-C2BB127E3D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rastructure World Cup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2" i="1"/>
  <c r="F13" i="1"/>
  <c r="F12" i="1"/>
  <c r="F11" i="1"/>
  <c r="A11" i="1"/>
  <c r="F10" i="1"/>
  <c r="A10" i="1"/>
  <c r="F9" i="1"/>
  <c r="A9" i="1"/>
  <c r="F8" i="1"/>
  <c r="A8" i="1"/>
  <c r="F7" i="1"/>
  <c r="A7" i="1"/>
  <c r="F6" i="1"/>
  <c r="A6" i="1"/>
  <c r="F5" i="1"/>
  <c r="A5" i="1"/>
  <c r="L73" i="1"/>
  <c r="J73" i="1"/>
  <c r="L72" i="1"/>
  <c r="J72" i="1"/>
  <c r="L71" i="1"/>
  <c r="J71" i="1"/>
  <c r="L70" i="1"/>
  <c r="J70" i="1"/>
  <c r="L69" i="1"/>
  <c r="J69" i="1"/>
  <c r="L68" i="1"/>
  <c r="J68" i="1"/>
  <c r="L67" i="1"/>
  <c r="J67" i="1"/>
  <c r="L66" i="1"/>
  <c r="J66" i="1"/>
  <c r="L65" i="1"/>
  <c r="J65" i="1"/>
  <c r="L64" i="1"/>
  <c r="J64" i="1"/>
  <c r="L63" i="1"/>
  <c r="J63" i="1"/>
  <c r="L62" i="1"/>
  <c r="J62" i="1"/>
  <c r="L61" i="1"/>
  <c r="J61" i="1"/>
  <c r="L60" i="1"/>
  <c r="J60" i="1"/>
  <c r="L59" i="1"/>
  <c r="J59" i="1"/>
  <c r="L58" i="1"/>
  <c r="J58" i="1"/>
  <c r="L57" i="1"/>
  <c r="J57" i="1"/>
  <c r="L56" i="1"/>
  <c r="J56" i="1"/>
  <c r="L55" i="1"/>
  <c r="J55" i="1"/>
  <c r="L54" i="1"/>
  <c r="J54" i="1"/>
  <c r="L53" i="1"/>
  <c r="J53" i="1"/>
  <c r="L52" i="1"/>
  <c r="J52" i="1"/>
  <c r="L51" i="1"/>
  <c r="J51" i="1"/>
  <c r="L50" i="1"/>
  <c r="J50" i="1"/>
  <c r="L49" i="1"/>
  <c r="J49" i="1"/>
  <c r="L48" i="1"/>
  <c r="J48" i="1"/>
  <c r="L47" i="1"/>
  <c r="J47" i="1"/>
  <c r="L46" i="1"/>
  <c r="J46" i="1"/>
  <c r="L45" i="1"/>
  <c r="J45" i="1"/>
  <c r="L44" i="1"/>
  <c r="J44" i="1"/>
  <c r="L43" i="1"/>
  <c r="J43" i="1"/>
  <c r="L42" i="1"/>
  <c r="J42" i="1"/>
  <c r="L41" i="1"/>
  <c r="J41" i="1"/>
  <c r="L40" i="1"/>
  <c r="J40" i="1"/>
  <c r="L39" i="1"/>
  <c r="J39" i="1"/>
  <c r="L38" i="1"/>
  <c r="J38" i="1"/>
  <c r="L37" i="1"/>
  <c r="J37" i="1"/>
  <c r="L36" i="1"/>
  <c r="J36" i="1"/>
  <c r="L35" i="1"/>
  <c r="J35" i="1"/>
  <c r="L34" i="1"/>
  <c r="J34" i="1"/>
  <c r="L33" i="1"/>
  <c r="J33" i="1"/>
  <c r="L32" i="1"/>
  <c r="J32" i="1"/>
  <c r="L31" i="1"/>
  <c r="J31" i="1"/>
  <c r="L30" i="1"/>
  <c r="J30" i="1"/>
  <c r="L29" i="1"/>
  <c r="J29" i="1"/>
  <c r="L28" i="1"/>
  <c r="J28" i="1"/>
  <c r="L27" i="1"/>
  <c r="J27" i="1"/>
  <c r="L26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L19" i="1"/>
  <c r="J19" i="1"/>
  <c r="L18" i="1"/>
  <c r="J18" i="1"/>
  <c r="L17" i="1"/>
  <c r="J17" i="1"/>
  <c r="L16" i="1"/>
  <c r="J16" i="1"/>
  <c r="L15" i="1"/>
  <c r="J15" i="1"/>
  <c r="L14" i="1"/>
  <c r="J14" i="1"/>
  <c r="L13" i="1"/>
  <c r="J13" i="1"/>
  <c r="L12" i="1"/>
  <c r="J12" i="1"/>
  <c r="L11" i="1"/>
  <c r="J11" i="1"/>
  <c r="L10" i="1"/>
  <c r="J10" i="1"/>
  <c r="L9" i="1"/>
  <c r="J9" i="1"/>
  <c r="L8" i="1"/>
  <c r="J8" i="1"/>
  <c r="L7" i="1"/>
  <c r="J7" i="1"/>
  <c r="L6" i="1"/>
  <c r="J6" i="1"/>
  <c r="L5" i="1"/>
  <c r="J5" i="1"/>
  <c r="J3" i="1"/>
  <c r="L3" i="1"/>
  <c r="J4" i="1"/>
  <c r="L4" i="1"/>
  <c r="L76" i="1"/>
  <c r="J76" i="1"/>
  <c r="L75" i="1"/>
  <c r="J75" i="1"/>
  <c r="L74" i="1"/>
  <c r="J7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<sst xmlns="http://schemas.openxmlformats.org/spreadsheetml/2006/main" count="254" uniqueCount="91">
  <si>
    <t>Date</t>
  </si>
  <si>
    <t>Match #</t>
  </si>
  <si>
    <t>Home Flag</t>
  </si>
  <si>
    <t>Home Team</t>
  </si>
  <si>
    <t>Away Flag</t>
  </si>
  <si>
    <t>Away Team</t>
  </si>
  <si>
    <t>Result</t>
  </si>
  <si>
    <t>Points</t>
  </si>
  <si>
    <t>11-Jun-2026</t>
  </si>
  <si>
    <t>Mexico</t>
  </si>
  <si>
    <t>South Africa</t>
  </si>
  <si>
    <t>Czechia</t>
  </si>
  <si>
    <t>12-Jun-2026</t>
  </si>
  <si>
    <t>Canada</t>
  </si>
  <si>
    <t>Bosnia &amp; Herzegovina</t>
  </si>
  <si>
    <t>13-Jun-2026</t>
  </si>
  <si>
    <t>Qatar</t>
  </si>
  <si>
    <t>Switzerland</t>
  </si>
  <si>
    <t>14-Jun-2026</t>
  </si>
  <si>
    <t>Brazil</t>
  </si>
  <si>
    <t>Morocco</t>
  </si>
  <si>
    <t>Haiti</t>
  </si>
  <si>
    <t>Scotland</t>
  </si>
  <si>
    <t>15-Jun-2026</t>
  </si>
  <si>
    <t>USA</t>
  </si>
  <si>
    <t>Paraguay</t>
  </si>
  <si>
    <t>16-Jun-2026</t>
  </si>
  <si>
    <t>Australia</t>
  </si>
  <si>
    <t>Türkiye</t>
  </si>
  <si>
    <t>17-Jun-2026</t>
  </si>
  <si>
    <t>Germany</t>
  </si>
  <si>
    <t>Curaçao</t>
  </si>
  <si>
    <t>Ivory Coast</t>
  </si>
  <si>
    <t>Ecuador</t>
  </si>
  <si>
    <t>18-Jun-2026</t>
  </si>
  <si>
    <t>Netherlands</t>
  </si>
  <si>
    <t>Japan</t>
  </si>
  <si>
    <t>19-Jun-2026</t>
  </si>
  <si>
    <t>Sweden</t>
  </si>
  <si>
    <t>Tunisia</t>
  </si>
  <si>
    <t>20-Jun-2026</t>
  </si>
  <si>
    <t>Belgium</t>
  </si>
  <si>
    <t>Egypt</t>
  </si>
  <si>
    <t>Iran</t>
  </si>
  <si>
    <t>New Zealand</t>
  </si>
  <si>
    <t>21-Jun-2026</t>
  </si>
  <si>
    <t>Spain</t>
  </si>
  <si>
    <t>Cape Verde</t>
  </si>
  <si>
    <t>22-Jun-2026</t>
  </si>
  <si>
    <t>Saudi Arabia</t>
  </si>
  <si>
    <t>Uruguay</t>
  </si>
  <si>
    <t>23-Jun-2026</t>
  </si>
  <si>
    <t>France</t>
  </si>
  <si>
    <t>Senegal</t>
  </si>
  <si>
    <t>Iraq</t>
  </si>
  <si>
    <t>Norway</t>
  </si>
  <si>
    <t>24-Jun-2026</t>
  </si>
  <si>
    <t>Argentina</t>
  </si>
  <si>
    <t>Algeria</t>
  </si>
  <si>
    <t>25-Jun-2026</t>
  </si>
  <si>
    <t>Austria</t>
  </si>
  <si>
    <t>Jordan</t>
  </si>
  <si>
    <t>26-Jun-2026</t>
  </si>
  <si>
    <t>Portugal</t>
  </si>
  <si>
    <t>DR Congo</t>
  </si>
  <si>
    <t>Uzbekistan</t>
  </si>
  <si>
    <t>Colombia</t>
  </si>
  <si>
    <t>27-Jun-2026</t>
  </si>
  <si>
    <t>England</t>
  </si>
  <si>
    <t>Croatia</t>
  </si>
  <si>
    <t>28-Jun-2026</t>
  </si>
  <si>
    <t>Ghana</t>
  </si>
  <si>
    <t>Panama</t>
  </si>
  <si>
    <t>Republic of Korea</t>
  </si>
  <si>
    <t>Turkey</t>
  </si>
  <si>
    <t>Congo DR</t>
  </si>
  <si>
    <t>Group Stage</t>
  </si>
  <si>
    <t>Rank</t>
  </si>
  <si>
    <t>Name</t>
  </si>
  <si>
    <t>Group/Team</t>
  </si>
  <si>
    <t>Last Week Points</t>
  </si>
  <si>
    <t>Movement</t>
  </si>
  <si>
    <t>Dan Perkins</t>
  </si>
  <si>
    <t>Dora Hegymegi</t>
  </si>
  <si>
    <t>Gillian Hepburn</t>
  </si>
  <si>
    <t>Jada Rose</t>
  </si>
  <si>
    <t>Nnamdi Okore-Affia</t>
  </si>
  <si>
    <t>Rich Moult</t>
  </si>
  <si>
    <t>Rinah-Jayne Nuamah</t>
  </si>
  <si>
    <t>Stuart Cunliffe</t>
  </si>
  <si>
    <t>Tim 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</si>
</sst>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7F3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flagcdn.com/w40/ht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flagcdn.com/w40/cv.png" TargetMode="External"/><Relationship Id="rId63" Type="http://schemas.openxmlformats.org/officeDocument/2006/relationships/hyperlink" Target="https://flagcdn.com/w40/sn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flagcdn.com/w40/uz.png" TargetMode="External"/><Relationship Id="rId16" Type="http://schemas.openxmlformats.org/officeDocument/2006/relationships/image" Target="../media/image8.png"/><Relationship Id="rId11" Type="http://schemas.openxmlformats.org/officeDocument/2006/relationships/hyperlink" Target="https://flagcdn.com/w40/ba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flagcdn.com/w40/ci.png" TargetMode="External"/><Relationship Id="rId53" Type="http://schemas.openxmlformats.org/officeDocument/2006/relationships/hyperlink" Target="https://flagcdn.com/w40/sa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flagcdn.com/w40/cd.png" TargetMode="External"/><Relationship Id="rId5" Type="http://schemas.openxmlformats.org/officeDocument/2006/relationships/hyperlink" Target="https://flagcdn.com/w40/kr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flagcdn.com/w40/py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flagcdn.com/w40/tr.png" TargetMode="External"/><Relationship Id="rId43" Type="http://schemas.openxmlformats.org/officeDocument/2006/relationships/hyperlink" Target="https://flagcdn.com/w40/tn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flagcdn.com/w40/ar.png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flagcdn.com/w40/eg.png" TargetMode="External"/><Relationship Id="rId72" Type="http://schemas.openxmlformats.org/officeDocument/2006/relationships/image" Target="../media/image36.png"/><Relationship Id="rId80" Type="http://schemas.openxmlformats.org/officeDocument/2006/relationships/image" Target="../media/image40.png"/><Relationship Id="rId85" Type="http://schemas.openxmlformats.org/officeDocument/2006/relationships/hyperlink" Target="https://flagcdn.com/w40/gh.png" TargetMode="External"/><Relationship Id="rId93" Type="http://schemas.openxmlformats.org/officeDocument/2006/relationships/hyperlink" Target="https://flagcdn.com/w40/us.png" TargetMode="External"/><Relationship Id="rId3" Type="http://schemas.openxmlformats.org/officeDocument/2006/relationships/hyperlink" Target="https://flagcdn.com/w40/za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flagcdn.com/w40/br.png" TargetMode="External"/><Relationship Id="rId25" Type="http://schemas.openxmlformats.org/officeDocument/2006/relationships/hyperlink" Target="https://flagcdn.com/w40/au.png" TargetMode="External"/><Relationship Id="rId33" Type="http://schemas.openxmlformats.org/officeDocument/2006/relationships/hyperlink" Target="https://flagcdn.com/w40/nl.png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flagcdn.com/w40/nz.png" TargetMode="External"/><Relationship Id="rId67" Type="http://schemas.openxmlformats.org/officeDocument/2006/relationships/hyperlink" Target="https://flagcdn.com/w40/no.png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flagcdn.com/w40/se.png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flagcdn.com/w40/jo.png" TargetMode="External"/><Relationship Id="rId83" Type="http://schemas.openxmlformats.org/officeDocument/2006/relationships/hyperlink" Target="https://flagcdn.com/w40/hr.png" TargetMode="External"/><Relationship Id="rId88" Type="http://schemas.openxmlformats.org/officeDocument/2006/relationships/image" Target="../media/image44.png"/><Relationship Id="rId91" Type="http://schemas.openxmlformats.org/officeDocument/2006/relationships/hyperlink" Target="https://flagcdn.com/w40/co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flagcdn.com/w40/mx.png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flagcdn.com/w40/ch.png" TargetMode="External"/><Relationship Id="rId23" Type="http://schemas.openxmlformats.org/officeDocument/2006/relationships/hyperlink" Target="https://flagcdn.com/w40/gb-sct.png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flagcdn.com/w40/be.png" TargetMode="External"/><Relationship Id="rId57" Type="http://schemas.openxmlformats.org/officeDocument/2006/relationships/hyperlink" Target="https://flagcdn.com/w40/ir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flagcdn.com/w40/cw.png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flagcdn.com/w40/iq.png" TargetMode="External"/><Relationship Id="rId73" Type="http://schemas.openxmlformats.org/officeDocument/2006/relationships/hyperlink" Target="https://flagcdn.com/w40/at.png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flagcdn.com/w40/gb-eng.png" TargetMode="Externa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4" Type="http://schemas.openxmlformats.org/officeDocument/2006/relationships/image" Target="../media/image2.png"/><Relationship Id="rId9" Type="http://schemas.openxmlformats.org/officeDocument/2006/relationships/hyperlink" Target="https://flagcdn.com/w40/ca.png" TargetMode="External"/><Relationship Id="rId13" Type="http://schemas.openxmlformats.org/officeDocument/2006/relationships/hyperlink" Target="https://flagcdn.com/w40/qa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flagcdn.com/w40/ec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flagcdn.com/w40/uy.png" TargetMode="External"/><Relationship Id="rId76" Type="http://schemas.openxmlformats.org/officeDocument/2006/relationships/image" Target="../media/image38.png"/><Relationship Id="rId7" Type="http://schemas.openxmlformats.org/officeDocument/2006/relationships/hyperlink" Target="https://flagcdn.com/w40/cz.png" TargetMode="External"/><Relationship Id="rId71" Type="http://schemas.openxmlformats.org/officeDocument/2006/relationships/hyperlink" Target="https://flagcdn.com/w40/dz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flagcdn.com/w40/de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flagcdn.com/w40/es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flagcdn.com/w40/pa.png" TargetMode="External"/><Relationship Id="rId61" Type="http://schemas.openxmlformats.org/officeDocument/2006/relationships/hyperlink" Target="https://flagcdn.com/w40/fr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flagcdn.com/w40/ma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flagcdn.com/w40/jp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flagcdn.com/w40/pt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</webImagesSrd>
</file>

<file path=xl/richData/rdrichvalue.xml><?xml version="1.0" encoding="utf-8"?>
<rvData xmlns="http://schemas.microsoft.com/office/spreadsheetml/2017/richdata" count="4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zoomScaleNormal="100" workbookViewId="0">
      <pane ySplit="2" topLeftCell="A3" activePane="bottomLeft" state="frozen"/>
      <selection pane="bottomLeft"/>
    </sheetView>
  </sheetViews>
  <sheetFormatPr defaultRowHeight="14.4" x14ac:dyDescent="0.3"/>
  <cols>
    <col min="2" max="2" width="17.88671875" customWidth="1"/>
    <col min="3" max="3" width="19.5546875" customWidth="1"/>
    <col min="4" max="4" width="13.88671875" customWidth="1"/>
    <col min="5" max="5" width="17.77734375" customWidth="1"/>
    <col min="6" max="6" width="16.77734375" customWidth="1"/>
    <col min="7" max="7" width="4.88671875" customWidth="1"/>
    <col min="8" max="8" width="14.21875" style="1" customWidth="1"/>
    <col min="9" max="9" width="10.88671875" style="1" customWidth="1"/>
    <col min="10" max="10" width="13.44140625" style="1" customWidth="1"/>
    <col min="11" max="11" width="17.77734375" style="1" customWidth="1"/>
    <col min="12" max="12" width="15" style="1" customWidth="1"/>
    <col min="13" max="13" width="18.5546875" style="1" customWidth="1"/>
    <col min="14" max="14" width="8.88671875" style="1"/>
  </cols>
  <sheetData>
    <row r="1" spans="1:14" x14ac:dyDescent="0.3">
      <c r="H1" s="3"/>
      <c r="I1" s="3"/>
      <c r="J1" s="3"/>
      <c r="K1" s="3"/>
      <c r="L1" s="3"/>
      <c r="M1" s="3"/>
      <c r="N1" s="3"/>
    </row>
    <row r="2" spans="1:14" ht="18" x14ac:dyDescent="0.3">
      <c r="A2" s="1"/>
      <c r="B2" s="9" t="s">
        <v>76</v>
      </c>
      <c r="C2" s="1"/>
      <c r="D2" s="1"/>
      <c r="E2" s="1"/>
      <c r="F2" s="2"/>
      <c r="H2" s="9" t="s">
        <v>0</v>
      </c>
      <c r="I2" s="9" t="s">
        <v>1</v>
      </c>
      <c r="J2" s="9" t="s">
        <v>2</v>
      </c>
      <c r="K2" s="9" t="s">
        <v>3</v>
      </c>
      <c r="L2" s="9" t="s">
        <v>4</v>
      </c>
      <c r="M2" s="9" t="s">
        <v>5</v>
      </c>
      <c r="N2" s="9" t="s">
        <v>6</v>
      </c>
    </row>
    <row r="3" spans="1:14" x14ac:dyDescent="0.3">
      <c r="A3" s="1"/>
      <c r="B3" s="1"/>
      <c r="C3" s="1"/>
      <c r="D3" s="1"/>
      <c r="E3" s="1"/>
      <c r="F3" s="2"/>
      <c r="H3" s="1" t="s">
        <v>8</v>
      </c>
      <c r="I3" s="1">
        <v>1</v>
      </c>
      <c r="J3" s="1" t="e" vm="1">
        <f>_xlfn.IMAGE("https://flagcdn.com/w40/mx.png")</f>
        <v>#VALUE!</v>
      </c>
      <c r="K3" s="1" t="s">
        <v>9</v>
      </c>
      <c r="L3" s="1" t="e" vm="2">
        <f>_xlfn.IMAGE("https://flagcdn.com/w40/za.png")</f>
        <v>#VALUE!</v>
      </c>
      <c r="M3" s="1" t="s">
        <v>10</v>
      </c>
      <c r="N3"/>
    </row>
    <row r="4" spans="1:14" x14ac:dyDescent="0.3">
      <c r="A4" s="4" t="s">
        <v>77</v>
      </c>
      <c r="B4" s="4" t="s">
        <v>78</v>
      </c>
      <c r="C4" s="4" t="s">
        <v>79</v>
      </c>
      <c r="D4" s="4" t="s">
        <v>7</v>
      </c>
      <c r="E4" s="4" t="s">
        <v>80</v>
      </c>
      <c r="F4" s="5" t="s">
        <v>81</v>
      </c>
      <c r="H4" s="1" t="s">
        <v>12</v>
      </c>
      <c r="I4" s="1">
        <v>2</v>
      </c>
      <c r="J4" s="1" t="e" vm="3">
        <f>_xlfn.IMAGE("https://flagcdn.com/w40/kr.png")</f>
        <v>#VALUE!</v>
      </c>
      <c r="K4" s="1" t="s">
        <v>73</v>
      </c>
      <c r="L4" s="1" t="e" vm="4">
        <f>_xlfn.IMAGE("https://flagcdn.com/w40/cz.png")</f>
        <v>#VALUE!</v>
      </c>
      <c r="M4" s="1" t="s">
        <v>11</v>
      </c>
      <c r="N4"/>
    </row>
    <row r="5" spans="1:14" x14ac:dyDescent="0.3">
      <c r="A5" s="1">
        <f>_xlfn.RANK.EQ(D5,$D$5:$D$50,0)</f>
        <v>1</v>
      </c>
      <c r="B5" s="1" t="s">
        <v>82</v>
      </c>
      <c r="C5" s="1" t="s">
        <v>22</v>
      </c>
      <c r="D5" s="1">
        <v>10</v>
      </c>
      <c r="E5" s="1">
        <v>8</v>
      </c>
      <c r="F5" s="6" t="str">
        <f>IF(D5&gt;E5,"↑ "&amp;D5-E5,IF(D5&lt;E5,"↓ "&amp;D5-E5,"→"))</f>
        <v>↑ 2</v>
      </c>
      <c r="H5" s="1" t="s">
        <v>12</v>
      </c>
      <c r="I5" s="1">
        <v>3</v>
      </c>
      <c r="J5" s="1" t="e" vm="5">
        <f>_xlfn.SINGLE(_xlfn.IMAGE("https://flagcdn.com/w40/ca.png"))</f>
        <v>#VALUE!</v>
      </c>
      <c r="K5" s="1" t="s">
        <v>13</v>
      </c>
      <c r="L5" s="1" t="e" vm="6">
        <f>_xlfn.SINGLE(_xlfn.IMAGE("https://flagcdn.com/w40/ba.png"))</f>
        <v>#VALUE!</v>
      </c>
      <c r="M5" s="1" t="s">
        <v>14</v>
      </c>
      <c r="N5"/>
    </row>
    <row r="6" spans="1:14" x14ac:dyDescent="0.3">
      <c r="A6" s="1">
        <f>_xlfn.RANK.EQ(D6,$D$5:$D$50,0)</f>
        <v>2</v>
      </c>
      <c r="B6" s="1" t="s">
        <v>83</v>
      </c>
      <c r="C6" s="1" t="s">
        <v>22</v>
      </c>
      <c r="D6" s="1">
        <v>9</v>
      </c>
      <c r="E6" s="1">
        <v>4</v>
      </c>
      <c r="F6" s="6" t="str">
        <f>IF(D6&gt;E6,"↑ "&amp;D6-E6,IF(D6&lt;E6,"↓ "&amp;D6-E6,"→"))</f>
        <v>↑ 5</v>
      </c>
      <c r="H6" s="1" t="s">
        <v>15</v>
      </c>
      <c r="I6" s="1">
        <v>4</v>
      </c>
      <c r="J6" s="1" t="e" vm="7">
        <f>_xlfn.SINGLE(_xlfn.IMAGE("https://flagcdn.com/w40/qa.png"))</f>
        <v>#VALUE!</v>
      </c>
      <c r="K6" s="1" t="s">
        <v>16</v>
      </c>
      <c r="L6" s="1" t="e" vm="8">
        <f>_xlfn.SINGLE(_xlfn.IMAGE("https://flagcdn.com/w40/ch.png"))</f>
        <v>#VALUE!</v>
      </c>
      <c r="M6" s="1" t="s">
        <v>17</v>
      </c>
      <c r="N6"/>
    </row>
    <row r="7" spans="1:14" x14ac:dyDescent="0.3">
      <c r="A7" s="1">
        <f>_xlfn.RANK.EQ(D7,$D$5:$D$50,0)</f>
        <v>3</v>
      </c>
      <c r="B7" s="1" t="s">
        <v>84</v>
      </c>
      <c r="C7" s="1" t="s">
        <v>22</v>
      </c>
      <c r="D7" s="1">
        <v>8</v>
      </c>
      <c r="E7" s="1">
        <v>7</v>
      </c>
      <c r="F7" s="7" t="str">
        <f>IF(D7&gt;E7,"↑ "&amp;D7-E7,IF(D7&lt;E7,"↓ "&amp;D7-E7,"→"))</f>
        <v>↑ 1</v>
      </c>
      <c r="H7" s="1" t="s">
        <v>15</v>
      </c>
      <c r="I7" s="1">
        <v>5</v>
      </c>
      <c r="J7" s="1" t="e" vm="9">
        <f>_xlfn.SINGLE(_xlfn.IMAGE("https://flagcdn.com/w40/br.png"))</f>
        <v>#VALUE!</v>
      </c>
      <c r="K7" s="1" t="s">
        <v>19</v>
      </c>
      <c r="L7" s="1" t="e" vm="10">
        <f>_xlfn.SINGLE(_xlfn.IMAGE("https://flagcdn.com/w40/ma.png"))</f>
        <v>#VALUE!</v>
      </c>
      <c r="M7" s="1" t="s">
        <v>20</v>
      </c>
      <c r="N7"/>
    </row>
    <row r="8" spans="1:14" x14ac:dyDescent="0.3">
      <c r="A8" s="1">
        <f>_xlfn.RANK.EQ(D8,$D$5:$D$50,0)</f>
        <v>4</v>
      </c>
      <c r="B8" s="1" t="s">
        <v>86</v>
      </c>
      <c r="C8" s="1" t="s">
        <v>22</v>
      </c>
      <c r="D8" s="1">
        <v>7</v>
      </c>
      <c r="E8" s="1">
        <v>7</v>
      </c>
      <c r="F8" s="8" t="str">
        <f>IF(D8&gt;E8,"↑ "&amp;D8-E8,IF(D8&lt;E8,"↓ "&amp;D8-E8,"→"))</f>
        <v>→</v>
      </c>
      <c r="H8" s="1" t="s">
        <v>18</v>
      </c>
      <c r="I8" s="1">
        <v>6</v>
      </c>
      <c r="J8" s="1" t="e" vm="11">
        <f>_xlfn.SINGLE(_xlfn.IMAGE("https://flagcdn.com/w40/ht.png"))</f>
        <v>#VALUE!</v>
      </c>
      <c r="K8" s="1" t="s">
        <v>21</v>
      </c>
      <c r="L8" s="1" t="e" vm="12">
        <f>_xlfn.SINGLE(_xlfn.IMAGE("https://flagcdn.com/w40/gb-sct.png"))</f>
        <v>#VALUE!</v>
      </c>
      <c r="M8" s="1" t="s">
        <v>22</v>
      </c>
      <c r="N8"/>
    </row>
    <row r="9" spans="1:14" x14ac:dyDescent="0.3">
      <c r="A9" s="1">
        <f>_xlfn.RANK.EQ(D9,$D$5:$D$50,0)</f>
        <v>4</v>
      </c>
      <c r="B9" s="1" t="s">
        <v>87</v>
      </c>
      <c r="C9" s="1" t="s">
        <v>22</v>
      </c>
      <c r="D9" s="1">
        <v>7</v>
      </c>
      <c r="E9" s="1">
        <v>7</v>
      </c>
      <c r="F9" s="8" t="str">
        <f>IF(D9&gt;E9,"↑ "&amp;D9-E9,IF(D9&lt;E9,"↓ "&amp;D9-E9,"→"))</f>
        <v>→</v>
      </c>
      <c r="H9" s="1" t="s">
        <v>18</v>
      </c>
      <c r="I9" s="1">
        <v>7</v>
      </c>
      <c r="J9" s="1" t="e" vm="13">
        <f>_xlfn.SINGLE(_xlfn.IMAGE("https://flagcdn.com/w40/au.png"))</f>
        <v>#VALUE!</v>
      </c>
      <c r="K9" s="1" t="s">
        <v>27</v>
      </c>
      <c r="L9" s="1" t="e" vm="14">
        <f>_xlfn.SINGLE(_xlfn.IMAGE("https://flagcdn.com/w40/tr.png"))</f>
        <v>#VALUE!</v>
      </c>
      <c r="M9" s="1" t="s">
        <v>28</v>
      </c>
      <c r="N9"/>
    </row>
    <row r="10" spans="1:14" x14ac:dyDescent="0.3">
      <c r="A10" s="1">
        <f>_xlfn.RANK.EQ(D10,$D$5:$D$50,0)</f>
        <v>4</v>
      </c>
      <c r="B10" s="1" t="s">
        <v>89</v>
      </c>
      <c r="C10" s="1" t="s">
        <v>22</v>
      </c>
      <c r="D10" s="1">
        <v>7</v>
      </c>
      <c r="E10" s="1">
        <v>7</v>
      </c>
      <c r="F10" s="8" t="str">
        <f>IF(D10&gt;E10,"↑ "&amp;D10-E10,IF(D10&lt;E10,"↓ "&amp;D10-E10,"→"))</f>
        <v>→</v>
      </c>
      <c r="H10" s="1" t="s">
        <v>18</v>
      </c>
      <c r="I10" s="1">
        <v>8</v>
      </c>
      <c r="J10" s="1" t="e" vm="15">
        <f>_xlfn.SINGLE(_xlfn.IMAGE("https://flagcdn.com/w40/de.png"))</f>
        <v>#VALUE!</v>
      </c>
      <c r="K10" s="1" t="s">
        <v>30</v>
      </c>
      <c r="L10" s="1" t="e" vm="16">
        <f>_xlfn.SINGLE(_xlfn.IMAGE("https://flagcdn.com/w40/cw.png"))</f>
        <v>#VALUE!</v>
      </c>
      <c r="M10" s="1" t="s">
        <v>31</v>
      </c>
      <c r="N10"/>
    </row>
    <row r="11" spans="1:14" x14ac:dyDescent="0.3">
      <c r="A11" s="1">
        <f>_xlfn.RANK.EQ(D11,$D$5:$D$50,0)</f>
        <v>4</v>
      </c>
      <c r="B11" s="1" t="s">
        <v>90</v>
      </c>
      <c r="C11" s="1" t="s">
        <v>22</v>
      </c>
      <c r="D11" s="1">
        <v>7</v>
      </c>
      <c r="E11" s="1">
        <v>7</v>
      </c>
      <c r="F11" s="8" t="str">
        <f>IF(D11&gt;E11,"↑ "&amp;D11-E11,IF(D11&lt;E11,"↓ "&amp;D11-E11,"→"))</f>
        <v>→</v>
      </c>
      <c r="H11" s="1" t="s">
        <v>18</v>
      </c>
      <c r="I11" s="1">
        <v>9</v>
      </c>
      <c r="J11" s="1" t="e" vm="17">
        <f>_xlfn.SINGLE(_xlfn.IMAGE("https://flagcdn.com/w40/nl.png"))</f>
        <v>#VALUE!</v>
      </c>
      <c r="K11" s="1" t="s">
        <v>35</v>
      </c>
      <c r="L11" s="1" t="e" vm="18">
        <f>_xlfn.SINGLE(_xlfn.IMAGE("https://flagcdn.com/w40/jp.png"))</f>
        <v>#VALUE!</v>
      </c>
      <c r="M11" s="1" t="s">
        <v>36</v>
      </c>
      <c r="N11"/>
    </row>
    <row r="12" spans="1:14" x14ac:dyDescent="0.3">
      <c r="A12" s="1">
        <f>_xlfn.RANK.EQ(D12,$D$5:$D$50,0)</f>
        <v>4</v>
      </c>
      <c r="B12" s="1" t="s">
        <v>85</v>
      </c>
      <c r="C12" s="1" t="s">
        <v>22</v>
      </c>
      <c r="D12" s="1">
        <v>7</v>
      </c>
      <c r="E12" s="1">
        <v>7</v>
      </c>
      <c r="F12" s="8" t="str">
        <f>IF(D12&gt;E12,"↑ "&amp;D12-E12,IF(D12&lt;E12,"↓ "&amp;D12-E12,"→"))</f>
        <v>→</v>
      </c>
      <c r="H12" s="1" t="s">
        <v>23</v>
      </c>
      <c r="I12" s="1">
        <v>10</v>
      </c>
      <c r="J12" s="1" t="e" vm="19">
        <f>_xlfn.SINGLE(_xlfn.IMAGE("https://flagcdn.com/w40/ci.png"))</f>
        <v>#VALUE!</v>
      </c>
      <c r="K12" s="1" t="s">
        <v>32</v>
      </c>
      <c r="L12" s="1" t="e" vm="20">
        <f>_xlfn.SINGLE(_xlfn.IMAGE("https://flagcdn.com/w40/ec.png"))</f>
        <v>#VALUE!</v>
      </c>
      <c r="M12" s="1" t="s">
        <v>33</v>
      </c>
      <c r="N12"/>
    </row>
    <row r="13" spans="1:14" x14ac:dyDescent="0.3">
      <c r="A13" s="1">
        <f>_xlfn.RANK.EQ(D13,$D$5:$D$50,0)</f>
        <v>4</v>
      </c>
      <c r="B13" s="1" t="s">
        <v>88</v>
      </c>
      <c r="C13" s="1" t="s">
        <v>22</v>
      </c>
      <c r="D13" s="1">
        <v>7</v>
      </c>
      <c r="E13" s="1">
        <v>7</v>
      </c>
      <c r="F13" s="8" t="str">
        <f>IF(D13&gt;E13,"↑ "&amp;D13-E13,IF(D13&lt;E13,"↓ "&amp;D13-E13,"→"))</f>
        <v>→</v>
      </c>
      <c r="H13" s="1" t="s">
        <v>23</v>
      </c>
      <c r="I13" s="1">
        <v>11</v>
      </c>
      <c r="J13" s="1" t="e" vm="21">
        <f>_xlfn.SINGLE(_xlfn.IMAGE("https://flagcdn.com/w40/se.png"))</f>
        <v>#VALUE!</v>
      </c>
      <c r="K13" s="1" t="s">
        <v>38</v>
      </c>
      <c r="L13" s="1" t="e" vm="22">
        <f>_xlfn.SINGLE(_xlfn.IMAGE("https://flagcdn.com/w40/tn.png"))</f>
        <v>#VALUE!</v>
      </c>
      <c r="M13" s="1" t="s">
        <v>39</v>
      </c>
      <c r="N13"/>
    </row>
    <row r="14" spans="1:14" x14ac:dyDescent="0.3">
      <c r="A14" s="1"/>
      <c r="B14" s="1"/>
      <c r="C14" s="1"/>
      <c r="D14" s="1"/>
      <c r="E14" s="1"/>
      <c r="F14" s="1"/>
      <c r="H14" s="1" t="s">
        <v>23</v>
      </c>
      <c r="I14" s="1">
        <v>12</v>
      </c>
      <c r="J14" s="1" t="e" vm="23">
        <f>_xlfn.SINGLE(_xlfn.IMAGE("https://flagcdn.com/w40/es.png"))</f>
        <v>#VALUE!</v>
      </c>
      <c r="K14" s="1" t="s">
        <v>46</v>
      </c>
      <c r="L14" s="1" t="e" vm="24">
        <f>_xlfn.SINGLE(_xlfn.IMAGE("https://flagcdn.com/w40/cv.png"))</f>
        <v>#VALUE!</v>
      </c>
      <c r="M14" s="1" t="s">
        <v>47</v>
      </c>
      <c r="N14"/>
    </row>
    <row r="15" spans="1:14" x14ac:dyDescent="0.3">
      <c r="A15" s="1"/>
      <c r="B15" s="1"/>
      <c r="C15" s="1"/>
      <c r="D15" s="1"/>
      <c r="E15" s="1"/>
      <c r="F15" s="1"/>
      <c r="H15" s="1" t="s">
        <v>23</v>
      </c>
      <c r="I15" s="1">
        <v>13</v>
      </c>
      <c r="J15" s="1" t="e" vm="25">
        <f>_xlfn.SINGLE(_xlfn.IMAGE("https://flagcdn.com/w40/be.png"))</f>
        <v>#VALUE!</v>
      </c>
      <c r="K15" s="1" t="s">
        <v>41</v>
      </c>
      <c r="L15" s="1" t="e" vm="26">
        <f>_xlfn.SINGLE(_xlfn.IMAGE("https://flagcdn.com/w40/eg.png"))</f>
        <v>#VALUE!</v>
      </c>
      <c r="M15" s="1" t="s">
        <v>42</v>
      </c>
      <c r="N15"/>
    </row>
    <row r="16" spans="1:14" x14ac:dyDescent="0.3">
      <c r="A16" s="1"/>
      <c r="B16" s="1"/>
      <c r="C16" s="1"/>
      <c r="D16" s="1"/>
      <c r="E16" s="1"/>
      <c r="F16" s="1"/>
      <c r="H16" s="1" t="s">
        <v>23</v>
      </c>
      <c r="I16" s="1">
        <v>14</v>
      </c>
      <c r="J16" s="1" t="e" vm="27">
        <f>_xlfn.SINGLE(_xlfn.IMAGE("https://flagcdn.com/w40/sa.png"))</f>
        <v>#VALUE!</v>
      </c>
      <c r="K16" s="1" t="s">
        <v>49</v>
      </c>
      <c r="L16" s="1" t="e" vm="28">
        <f>_xlfn.SINGLE(_xlfn.IMAGE("https://flagcdn.com/w40/uy.png"))</f>
        <v>#VALUE!</v>
      </c>
      <c r="M16" s="1" t="s">
        <v>50</v>
      </c>
      <c r="N16"/>
    </row>
    <row r="17" spans="1:14" x14ac:dyDescent="0.3">
      <c r="A17" s="1"/>
      <c r="B17" s="1"/>
      <c r="C17" s="1"/>
      <c r="D17" s="1"/>
      <c r="E17" s="1"/>
      <c r="F17" s="1"/>
      <c r="H17" s="1" t="s">
        <v>26</v>
      </c>
      <c r="I17" s="1">
        <v>15</v>
      </c>
      <c r="J17" s="1" t="e" vm="29">
        <f>_xlfn.SINGLE(_xlfn.IMAGE("https://flagcdn.com/w40/ir.png"))</f>
        <v>#VALUE!</v>
      </c>
      <c r="K17" s="1" t="s">
        <v>43</v>
      </c>
      <c r="L17" s="1" t="e" vm="30">
        <f>_xlfn.SINGLE(_xlfn.IMAGE("https://flagcdn.com/w40/nz.png"))</f>
        <v>#VALUE!</v>
      </c>
      <c r="M17" s="1" t="s">
        <v>44</v>
      </c>
      <c r="N17"/>
    </row>
    <row r="18" spans="1:14" x14ac:dyDescent="0.3">
      <c r="H18" s="1" t="s">
        <v>26</v>
      </c>
      <c r="I18" s="1">
        <v>16</v>
      </c>
      <c r="J18" s="1" t="e" vm="31">
        <f>_xlfn.SINGLE(_xlfn.IMAGE("https://flagcdn.com/w40/fr.png"))</f>
        <v>#VALUE!</v>
      </c>
      <c r="K18" s="1" t="s">
        <v>52</v>
      </c>
      <c r="L18" s="1" t="e" vm="32">
        <f>_xlfn.SINGLE(_xlfn.IMAGE("https://flagcdn.com/w40/sn.png"))</f>
        <v>#VALUE!</v>
      </c>
      <c r="M18" s="1" t="s">
        <v>53</v>
      </c>
      <c r="N18"/>
    </row>
    <row r="19" spans="1:14" x14ac:dyDescent="0.3">
      <c r="H19" s="1" t="s">
        <v>26</v>
      </c>
      <c r="I19" s="1">
        <v>17</v>
      </c>
      <c r="J19" s="1" t="e" vm="33">
        <f>_xlfn.SINGLE(_xlfn.IMAGE("https://flagcdn.com/w40/iq.png"))</f>
        <v>#VALUE!</v>
      </c>
      <c r="K19" s="1" t="s">
        <v>54</v>
      </c>
      <c r="L19" s="1" t="e" vm="34">
        <f>_xlfn.SINGLE(_xlfn.IMAGE("https://flagcdn.com/w40/no.png"))</f>
        <v>#VALUE!</v>
      </c>
      <c r="M19" s="1" t="s">
        <v>55</v>
      </c>
      <c r="N19"/>
    </row>
    <row r="20" spans="1:14" x14ac:dyDescent="0.3">
      <c r="H20" s="1" t="s">
        <v>29</v>
      </c>
      <c r="I20" s="1">
        <v>18</v>
      </c>
      <c r="J20" s="1" t="e" vm="35">
        <f>_xlfn.SINGLE(_xlfn.IMAGE("https://flagcdn.com/w40/ar.png"))</f>
        <v>#VALUE!</v>
      </c>
      <c r="K20" s="1" t="s">
        <v>57</v>
      </c>
      <c r="L20" s="1" t="e" vm="36">
        <f>_xlfn.SINGLE(_xlfn.IMAGE("https://flagcdn.com/w40/dz.png"))</f>
        <v>#VALUE!</v>
      </c>
      <c r="M20" s="1" t="s">
        <v>58</v>
      </c>
      <c r="N20"/>
    </row>
    <row r="21" spans="1:14" x14ac:dyDescent="0.3">
      <c r="H21" s="1" t="s">
        <v>29</v>
      </c>
      <c r="I21" s="1">
        <v>19</v>
      </c>
      <c r="J21" s="1" t="e" vm="37">
        <f>_xlfn.SINGLE(_xlfn.IMAGE("https://flagcdn.com/w40/at.png"))</f>
        <v>#VALUE!</v>
      </c>
      <c r="K21" s="1" t="s">
        <v>60</v>
      </c>
      <c r="L21" s="1" t="e" vm="38">
        <f>_xlfn.SINGLE(_xlfn.IMAGE("https://flagcdn.com/w40/jo.png"))</f>
        <v>#VALUE!</v>
      </c>
      <c r="M21" s="1" t="s">
        <v>61</v>
      </c>
      <c r="N21"/>
    </row>
    <row r="22" spans="1:14" x14ac:dyDescent="0.3">
      <c r="H22" s="1" t="s">
        <v>29</v>
      </c>
      <c r="I22" s="1">
        <v>20</v>
      </c>
      <c r="J22" s="1" t="e" vm="39">
        <f>_xlfn.SINGLE(_xlfn.IMAGE("https://flagcdn.com/w40/pt.png"))</f>
        <v>#VALUE!</v>
      </c>
      <c r="K22" s="1" t="s">
        <v>63</v>
      </c>
      <c r="L22" s="1" t="e" vm="40">
        <f>_xlfn.SINGLE(_xlfn.IMAGE("https://flagcdn.com/w40/cd.png"))</f>
        <v>#VALUE!</v>
      </c>
      <c r="M22" s="1" t="s">
        <v>64</v>
      </c>
      <c r="N22"/>
    </row>
    <row r="23" spans="1:14" x14ac:dyDescent="0.3">
      <c r="H23" s="1" t="s">
        <v>29</v>
      </c>
      <c r="I23" s="1">
        <v>21</v>
      </c>
      <c r="J23" s="1" t="e" vm="41">
        <f>_xlfn.SINGLE(_xlfn.IMAGE("https://flagcdn.com/w40/gb-eng.png"))</f>
        <v>#VALUE!</v>
      </c>
      <c r="K23" s="1" t="s">
        <v>68</v>
      </c>
      <c r="L23" s="1" t="e" vm="42">
        <f>_xlfn.SINGLE(_xlfn.IMAGE("https://flagcdn.com/w40/hr.png"))</f>
        <v>#VALUE!</v>
      </c>
      <c r="M23" s="1" t="s">
        <v>69</v>
      </c>
      <c r="N23"/>
    </row>
    <row r="24" spans="1:14" x14ac:dyDescent="0.3">
      <c r="H24" s="1" t="s">
        <v>34</v>
      </c>
      <c r="I24" s="1">
        <v>22</v>
      </c>
      <c r="J24" s="1" t="e" vm="43">
        <f>_xlfn.SINGLE(_xlfn.IMAGE("https://flagcdn.com/w40/gh.png"))</f>
        <v>#VALUE!</v>
      </c>
      <c r="K24" s="1" t="s">
        <v>71</v>
      </c>
      <c r="L24" s="1" t="e" vm="44">
        <f>_xlfn.SINGLE(_xlfn.IMAGE("https://flagcdn.com/w40/pa.png"))</f>
        <v>#VALUE!</v>
      </c>
      <c r="M24" s="1" t="s">
        <v>72</v>
      </c>
      <c r="N24"/>
    </row>
    <row r="25" spans="1:14" x14ac:dyDescent="0.3">
      <c r="H25" s="1" t="s">
        <v>34</v>
      </c>
      <c r="I25" s="1">
        <v>23</v>
      </c>
      <c r="J25" s="1" t="e" vm="45">
        <f>_xlfn.SINGLE(_xlfn.IMAGE("https://flagcdn.com/w40/uz.png"))</f>
        <v>#VALUE!</v>
      </c>
      <c r="K25" s="1" t="s">
        <v>65</v>
      </c>
      <c r="L25" s="1" t="e" vm="46">
        <f>_xlfn.SINGLE(_xlfn.IMAGE("https://flagcdn.com/w40/co.png"))</f>
        <v>#VALUE!</v>
      </c>
      <c r="M25" s="1" t="s">
        <v>66</v>
      </c>
      <c r="N25"/>
    </row>
    <row r="26" spans="1:14" x14ac:dyDescent="0.3">
      <c r="H26" s="1" t="s">
        <v>34</v>
      </c>
      <c r="I26" s="1">
        <v>24</v>
      </c>
      <c r="J26" s="1" t="e" vm="4">
        <f>_xlfn.SINGLE(_xlfn.IMAGE("https://flagcdn.com/w40/cz.png"))</f>
        <v>#VALUE!</v>
      </c>
      <c r="K26" s="1" t="s">
        <v>11</v>
      </c>
      <c r="L26" s="1" t="e" vm="2">
        <f>_xlfn.IMAGE("https://flagcdn.com/w40/za.png")</f>
        <v>#VALUE!</v>
      </c>
      <c r="M26" s="1" t="s">
        <v>10</v>
      </c>
      <c r="N26"/>
    </row>
    <row r="27" spans="1:14" x14ac:dyDescent="0.3">
      <c r="H27" s="1" t="s">
        <v>34</v>
      </c>
      <c r="I27" s="1">
        <v>25</v>
      </c>
      <c r="J27" s="1" t="e" vm="8">
        <f>_xlfn.SINGLE(_xlfn.IMAGE("https://flagcdn.com/w40/ch.png"))</f>
        <v>#VALUE!</v>
      </c>
      <c r="K27" s="1" t="s">
        <v>17</v>
      </c>
      <c r="L27" s="1" t="e" vm="6">
        <f>_xlfn.SINGLE(_xlfn.IMAGE("https://flagcdn.com/w40/ba.png"))</f>
        <v>#VALUE!</v>
      </c>
      <c r="M27" s="1" t="s">
        <v>14</v>
      </c>
      <c r="N27"/>
    </row>
    <row r="28" spans="1:14" x14ac:dyDescent="0.3">
      <c r="H28" s="1" t="s">
        <v>34</v>
      </c>
      <c r="I28" s="1">
        <v>26</v>
      </c>
      <c r="J28" s="1" t="e" vm="5">
        <f>_xlfn.SINGLE(_xlfn.IMAGE("https://flagcdn.com/w40/ca.png"))</f>
        <v>#VALUE!</v>
      </c>
      <c r="K28" s="1" t="s">
        <v>13</v>
      </c>
      <c r="L28" s="1" t="e" vm="7">
        <f>_xlfn.SINGLE(_xlfn.IMAGE("https://flagcdn.com/w40/qa.png"))</f>
        <v>#VALUE!</v>
      </c>
      <c r="M28" s="1" t="s">
        <v>16</v>
      </c>
      <c r="N28"/>
    </row>
    <row r="29" spans="1:14" x14ac:dyDescent="0.3">
      <c r="H29" s="1" t="s">
        <v>37</v>
      </c>
      <c r="I29" s="1">
        <v>27</v>
      </c>
      <c r="J29" s="1" t="e" vm="1">
        <f>_xlfn.IMAGE("https://flagcdn.com/w40/mx.png")</f>
        <v>#VALUE!</v>
      </c>
      <c r="K29" s="1" t="s">
        <v>9</v>
      </c>
      <c r="L29" s="1" t="e" vm="3">
        <f>_xlfn.IMAGE("https://flagcdn.com/w40/kr.png")</f>
        <v>#VALUE!</v>
      </c>
      <c r="M29" s="1" t="s">
        <v>73</v>
      </c>
      <c r="N29"/>
    </row>
    <row r="30" spans="1:14" x14ac:dyDescent="0.3">
      <c r="H30" s="1" t="s">
        <v>37</v>
      </c>
      <c r="I30" s="1">
        <v>28</v>
      </c>
      <c r="J30" s="1" t="e" vm="47">
        <f>_xlfn.SINGLE(_xlfn.IMAGE("https://flagcdn.com/w40/us.png"))</f>
        <v>#VALUE!</v>
      </c>
      <c r="K30" s="1" t="s">
        <v>24</v>
      </c>
      <c r="L30" s="1" t="e" vm="13">
        <f>_xlfn.SINGLE(_xlfn.IMAGE("https://flagcdn.com/w40/au.png"))</f>
        <v>#VALUE!</v>
      </c>
      <c r="M30" s="1" t="s">
        <v>27</v>
      </c>
      <c r="N30"/>
    </row>
    <row r="31" spans="1:14" x14ac:dyDescent="0.3">
      <c r="H31" s="1" t="s">
        <v>37</v>
      </c>
      <c r="I31" s="1">
        <v>28</v>
      </c>
      <c r="J31" s="1" t="e" vm="12">
        <f>_xlfn.SINGLE(_xlfn.IMAGE("https://flagcdn.com/w40/gb-sct.png"))</f>
        <v>#VALUE!</v>
      </c>
      <c r="K31" s="1" t="s">
        <v>22</v>
      </c>
      <c r="L31" s="1" t="e" vm="10">
        <f>_xlfn.SINGLE(_xlfn.IMAGE("https://flagcdn.com/w40/ma.png"))</f>
        <v>#VALUE!</v>
      </c>
      <c r="M31" s="1" t="s">
        <v>20</v>
      </c>
      <c r="N31"/>
    </row>
    <row r="32" spans="1:14" x14ac:dyDescent="0.3">
      <c r="H32" s="1" t="s">
        <v>40</v>
      </c>
      <c r="I32" s="1">
        <v>30</v>
      </c>
      <c r="J32" s="1" t="e" vm="9">
        <f>_xlfn.SINGLE(_xlfn.IMAGE("https://flagcdn.com/w40/br.png"))</f>
        <v>#VALUE!</v>
      </c>
      <c r="K32" s="1" t="s">
        <v>19</v>
      </c>
      <c r="L32" s="1" t="e" vm="11">
        <f>_xlfn.SINGLE(_xlfn.IMAGE("https://flagcdn.com/w40/ht.png"))</f>
        <v>#VALUE!</v>
      </c>
      <c r="M32" s="1" t="s">
        <v>21</v>
      </c>
      <c r="N32"/>
    </row>
    <row r="33" spans="8:14" x14ac:dyDescent="0.3">
      <c r="H33" s="1" t="s">
        <v>40</v>
      </c>
      <c r="I33" s="1">
        <v>31</v>
      </c>
      <c r="J33" s="1" t="e" vm="14">
        <f>_xlfn.SINGLE(_xlfn.IMAGE("https://flagcdn.com/w40/tr.png"))</f>
        <v>#VALUE!</v>
      </c>
      <c r="K33" s="1" t="s">
        <v>74</v>
      </c>
      <c r="L33" s="1" t="e" vm="48">
        <f>_xlfn.SINGLE(_xlfn.IMAGE("https://flagcdn.com/w40/py.png"))</f>
        <v>#VALUE!</v>
      </c>
      <c r="M33" s="1" t="s">
        <v>25</v>
      </c>
      <c r="N33"/>
    </row>
    <row r="34" spans="8:14" x14ac:dyDescent="0.3">
      <c r="H34" s="1" t="s">
        <v>40</v>
      </c>
      <c r="I34" s="1">
        <v>32</v>
      </c>
      <c r="J34" s="1" t="e" vm="17">
        <f>_xlfn.SINGLE(_xlfn.IMAGE("https://flagcdn.com/w40/nl.png"))</f>
        <v>#VALUE!</v>
      </c>
      <c r="K34" s="1" t="s">
        <v>35</v>
      </c>
      <c r="L34" s="1" t="e" vm="21">
        <f>_xlfn.SINGLE(_xlfn.IMAGE("https://flagcdn.com/w40/se.png"))</f>
        <v>#VALUE!</v>
      </c>
      <c r="M34" s="1" t="s">
        <v>38</v>
      </c>
      <c r="N34"/>
    </row>
    <row r="35" spans="8:14" x14ac:dyDescent="0.3">
      <c r="H35" s="1" t="s">
        <v>40</v>
      </c>
      <c r="I35" s="1">
        <v>33</v>
      </c>
      <c r="J35" s="1" t="e" vm="15">
        <f>_xlfn.SINGLE(_xlfn.IMAGE("https://flagcdn.com/w40/de.png"))</f>
        <v>#VALUE!</v>
      </c>
      <c r="K35" s="1" t="s">
        <v>30</v>
      </c>
      <c r="L35" s="1" t="e" vm="19">
        <f>_xlfn.SINGLE(_xlfn.IMAGE("https://flagcdn.com/w40/ci.png"))</f>
        <v>#VALUE!</v>
      </c>
      <c r="M35" s="1" t="s">
        <v>32</v>
      </c>
      <c r="N35"/>
    </row>
    <row r="36" spans="8:14" x14ac:dyDescent="0.3">
      <c r="H36" s="1" t="s">
        <v>45</v>
      </c>
      <c r="I36" s="1">
        <v>34</v>
      </c>
      <c r="J36" s="1" t="e" vm="20">
        <f>_xlfn.SINGLE(_xlfn.IMAGE("https://flagcdn.com/w40/ec.png"))</f>
        <v>#VALUE!</v>
      </c>
      <c r="K36" s="1" t="s">
        <v>33</v>
      </c>
      <c r="L36" s="1" t="e" vm="16">
        <f>_xlfn.SINGLE(_xlfn.IMAGE("https://flagcdn.com/w40/cw.png"))</f>
        <v>#VALUE!</v>
      </c>
      <c r="M36" s="1" t="s">
        <v>31</v>
      </c>
      <c r="N36"/>
    </row>
    <row r="37" spans="8:14" x14ac:dyDescent="0.3">
      <c r="H37" s="1" t="s">
        <v>45</v>
      </c>
      <c r="I37" s="1">
        <v>35</v>
      </c>
      <c r="J37" s="1" t="e" vm="22">
        <f>_xlfn.SINGLE(_xlfn.IMAGE("https://flagcdn.com/w40/tn.png"))</f>
        <v>#VALUE!</v>
      </c>
      <c r="K37" s="1" t="s">
        <v>39</v>
      </c>
      <c r="L37" s="1" t="e" vm="18">
        <f>_xlfn.SINGLE(_xlfn.IMAGE("https://flagcdn.com/w40/jp.png"))</f>
        <v>#VALUE!</v>
      </c>
      <c r="M37" s="1" t="s">
        <v>36</v>
      </c>
      <c r="N37"/>
    </row>
    <row r="38" spans="8:14" x14ac:dyDescent="0.3">
      <c r="H38" s="1" t="s">
        <v>45</v>
      </c>
      <c r="I38" s="1">
        <v>36</v>
      </c>
      <c r="J38" s="1" t="e" vm="23">
        <f>_xlfn.SINGLE(_xlfn.IMAGE("https://flagcdn.com/w40/es.png"))</f>
        <v>#VALUE!</v>
      </c>
      <c r="K38" s="1" t="s">
        <v>46</v>
      </c>
      <c r="L38" s="1" t="e" vm="27">
        <f>_xlfn.SINGLE(_xlfn.IMAGE("https://flagcdn.com/w40/sa.png"))</f>
        <v>#VALUE!</v>
      </c>
      <c r="M38" s="1" t="s">
        <v>49</v>
      </c>
      <c r="N38"/>
    </row>
    <row r="39" spans="8:14" x14ac:dyDescent="0.3">
      <c r="H39" s="1" t="s">
        <v>45</v>
      </c>
      <c r="I39" s="1">
        <v>37</v>
      </c>
      <c r="J39" s="1" t="e" vm="25">
        <f>_xlfn.SINGLE(_xlfn.IMAGE("https://flagcdn.com/w40/be.png"))</f>
        <v>#VALUE!</v>
      </c>
      <c r="K39" s="1" t="s">
        <v>41</v>
      </c>
      <c r="L39" s="1" t="e" vm="29">
        <f>_xlfn.SINGLE(_xlfn.IMAGE("https://flagcdn.com/w40/ir.png"))</f>
        <v>#VALUE!</v>
      </c>
      <c r="M39" s="1" t="s">
        <v>43</v>
      </c>
      <c r="N39"/>
    </row>
    <row r="40" spans="8:14" x14ac:dyDescent="0.3">
      <c r="H40" s="1" t="s">
        <v>45</v>
      </c>
      <c r="I40" s="1">
        <v>38</v>
      </c>
      <c r="J40" s="1" t="e" vm="28">
        <f>_xlfn.SINGLE(_xlfn.IMAGE("https://flagcdn.com/w40/uy.png"))</f>
        <v>#VALUE!</v>
      </c>
      <c r="K40" s="1" t="s">
        <v>50</v>
      </c>
      <c r="L40" s="1" t="e" vm="24">
        <f>_xlfn.SINGLE(_xlfn.IMAGE("https://flagcdn.com/w40/cv.png"))</f>
        <v>#VALUE!</v>
      </c>
      <c r="M40" s="1" t="s">
        <v>47</v>
      </c>
      <c r="N40"/>
    </row>
    <row r="41" spans="8:14" x14ac:dyDescent="0.3">
      <c r="H41" s="1" t="s">
        <v>48</v>
      </c>
      <c r="I41" s="1">
        <v>39</v>
      </c>
      <c r="J41" s="1" t="e" vm="30">
        <f>_xlfn.SINGLE(_xlfn.IMAGE("https://flagcdn.com/w40/nz.png"))</f>
        <v>#VALUE!</v>
      </c>
      <c r="K41" s="1" t="s">
        <v>44</v>
      </c>
      <c r="L41" s="1" t="e" vm="26">
        <f>_xlfn.SINGLE(_xlfn.IMAGE("https://flagcdn.com/w40/eg.png"))</f>
        <v>#VALUE!</v>
      </c>
      <c r="M41" s="1" t="s">
        <v>42</v>
      </c>
      <c r="N41"/>
    </row>
    <row r="42" spans="8:14" x14ac:dyDescent="0.3">
      <c r="H42" s="1" t="s">
        <v>48</v>
      </c>
      <c r="I42" s="1">
        <v>40</v>
      </c>
      <c r="J42" s="1" t="e" vm="35">
        <f>_xlfn.SINGLE(_xlfn.IMAGE("https://flagcdn.com/w40/ar.png"))</f>
        <v>#VALUE!</v>
      </c>
      <c r="K42" s="1" t="s">
        <v>57</v>
      </c>
      <c r="L42" s="1" t="e" vm="37">
        <f>_xlfn.SINGLE(_xlfn.IMAGE("https://flagcdn.com/w40/at.png"))</f>
        <v>#VALUE!</v>
      </c>
      <c r="M42" s="1" t="s">
        <v>60</v>
      </c>
      <c r="N42"/>
    </row>
    <row r="43" spans="8:14" x14ac:dyDescent="0.3">
      <c r="H43" s="1" t="s">
        <v>48</v>
      </c>
      <c r="I43" s="1">
        <v>41</v>
      </c>
      <c r="J43" s="1" t="e" vm="31">
        <f>_xlfn.SINGLE(_xlfn.IMAGE("https://flagcdn.com/w40/fr.png"))</f>
        <v>#VALUE!</v>
      </c>
      <c r="K43" s="1" t="s">
        <v>52</v>
      </c>
      <c r="L43" s="1" t="e" vm="33">
        <f>_xlfn.SINGLE(_xlfn.IMAGE("https://flagcdn.com/w40/iq.png"))</f>
        <v>#VALUE!</v>
      </c>
      <c r="M43" s="1" t="s">
        <v>54</v>
      </c>
      <c r="N43"/>
    </row>
    <row r="44" spans="8:14" x14ac:dyDescent="0.3">
      <c r="H44" s="1" t="s">
        <v>51</v>
      </c>
      <c r="I44" s="1">
        <v>42</v>
      </c>
      <c r="J44" s="1" t="e" vm="34">
        <f>_xlfn.SINGLE(_xlfn.IMAGE("https://flagcdn.com/w40/no.png"))</f>
        <v>#VALUE!</v>
      </c>
      <c r="K44" s="1" t="s">
        <v>55</v>
      </c>
      <c r="L44" s="1" t="e" vm="32">
        <f>_xlfn.SINGLE(_xlfn.IMAGE("https://flagcdn.com/w40/sn.png"))</f>
        <v>#VALUE!</v>
      </c>
      <c r="M44" s="1" t="s">
        <v>53</v>
      </c>
      <c r="N44"/>
    </row>
    <row r="45" spans="8:14" x14ac:dyDescent="0.3">
      <c r="H45" s="1" t="s">
        <v>51</v>
      </c>
      <c r="I45" s="1">
        <v>43</v>
      </c>
      <c r="J45" s="1" t="e" vm="38">
        <f>_xlfn.SINGLE(_xlfn.IMAGE("https://flagcdn.com/w40/jo.png"))</f>
        <v>#VALUE!</v>
      </c>
      <c r="K45" s="1" t="s">
        <v>61</v>
      </c>
      <c r="L45" s="1" t="e" vm="36">
        <f>_xlfn.SINGLE(_xlfn.IMAGE("https://flagcdn.com/w40/dz.png"))</f>
        <v>#VALUE!</v>
      </c>
      <c r="M45" s="1" t="s">
        <v>58</v>
      </c>
      <c r="N45"/>
    </row>
    <row r="46" spans="8:14" x14ac:dyDescent="0.3">
      <c r="H46" s="1" t="s">
        <v>51</v>
      </c>
      <c r="I46" s="1">
        <v>44</v>
      </c>
      <c r="J46" s="1" t="e" vm="39">
        <f>_xlfn.SINGLE(_xlfn.IMAGE("https://flagcdn.com/w40/pt.png"))</f>
        <v>#VALUE!</v>
      </c>
      <c r="K46" s="1" t="s">
        <v>63</v>
      </c>
      <c r="L46" s="1" t="e" vm="45">
        <f>_xlfn.SINGLE(_xlfn.IMAGE("https://flagcdn.com/w40/uz.png"))</f>
        <v>#VALUE!</v>
      </c>
      <c r="M46" s="1" t="s">
        <v>65</v>
      </c>
      <c r="N46"/>
    </row>
    <row r="47" spans="8:14" x14ac:dyDescent="0.3">
      <c r="H47" s="1" t="s">
        <v>51</v>
      </c>
      <c r="I47" s="1">
        <v>45</v>
      </c>
      <c r="J47" s="1" t="e" vm="41">
        <f>_xlfn.SINGLE(_xlfn.IMAGE("https://flagcdn.com/w40/gb-eng.png"))</f>
        <v>#VALUE!</v>
      </c>
      <c r="K47" s="1" t="s">
        <v>68</v>
      </c>
      <c r="L47" s="1" t="e" vm="43">
        <f>_xlfn.SINGLE(_xlfn.IMAGE("https://flagcdn.com/w40/gh.png"))</f>
        <v>#VALUE!</v>
      </c>
      <c r="M47" s="1" t="s">
        <v>71</v>
      </c>
      <c r="N47"/>
    </row>
    <row r="48" spans="8:14" x14ac:dyDescent="0.3">
      <c r="H48" s="1" t="s">
        <v>56</v>
      </c>
      <c r="I48" s="1">
        <v>46</v>
      </c>
      <c r="J48" s="1" t="e" vm="44">
        <f>_xlfn.SINGLE(_xlfn.IMAGE("https://flagcdn.com/w40/pa.png"))</f>
        <v>#VALUE!</v>
      </c>
      <c r="K48" s="1" t="s">
        <v>72</v>
      </c>
      <c r="L48" s="1" t="e" vm="42">
        <f>_xlfn.SINGLE(_xlfn.IMAGE("https://flagcdn.com/w40/hr.png"))</f>
        <v>#VALUE!</v>
      </c>
      <c r="M48" s="1" t="s">
        <v>69</v>
      </c>
      <c r="N48"/>
    </row>
    <row r="49" spans="8:14" x14ac:dyDescent="0.3">
      <c r="H49" s="1" t="s">
        <v>56</v>
      </c>
      <c r="I49" s="1">
        <v>47</v>
      </c>
      <c r="J49" s="1" t="e" vm="46">
        <f>_xlfn.SINGLE(_xlfn.IMAGE("https://flagcdn.com/w40/co.png"))</f>
        <v>#VALUE!</v>
      </c>
      <c r="K49" s="1" t="s">
        <v>66</v>
      </c>
      <c r="L49" s="1" t="e" vm="40">
        <f>_xlfn.SINGLE(_xlfn.IMAGE("https://flagcdn.com/w40/cd.png"))</f>
        <v>#VALUE!</v>
      </c>
      <c r="M49" s="1" t="s">
        <v>75</v>
      </c>
      <c r="N49"/>
    </row>
    <row r="50" spans="8:14" x14ac:dyDescent="0.3">
      <c r="H50" s="1" t="s">
        <v>56</v>
      </c>
      <c r="I50" s="1">
        <v>48</v>
      </c>
      <c r="J50" s="1" t="e" vm="8">
        <f>_xlfn.SINGLE(_xlfn.IMAGE("https://flagcdn.com/w40/ch.png"))</f>
        <v>#VALUE!</v>
      </c>
      <c r="K50" s="1" t="s">
        <v>17</v>
      </c>
      <c r="L50" s="1" t="e" vm="5">
        <f>_xlfn.SINGLE(_xlfn.IMAGE("https://flagcdn.com/w40/ca.png"))</f>
        <v>#VALUE!</v>
      </c>
      <c r="M50" s="1" t="s">
        <v>13</v>
      </c>
      <c r="N50"/>
    </row>
    <row r="51" spans="8:14" x14ac:dyDescent="0.3">
      <c r="H51" s="1" t="s">
        <v>56</v>
      </c>
      <c r="I51" s="1">
        <v>49</v>
      </c>
      <c r="J51" s="1" t="e" vm="6">
        <f>_xlfn.SINGLE(_xlfn.IMAGE("https://flagcdn.com/w40/ba.png"))</f>
        <v>#VALUE!</v>
      </c>
      <c r="K51" s="1" t="s">
        <v>14</v>
      </c>
      <c r="L51" s="1" t="e" vm="7">
        <f>_xlfn.SINGLE(_xlfn.IMAGE("https://flagcdn.com/w40/qa.png"))</f>
        <v>#VALUE!</v>
      </c>
      <c r="M51" s="1" t="s">
        <v>16</v>
      </c>
      <c r="N51"/>
    </row>
    <row r="52" spans="8:14" x14ac:dyDescent="0.3">
      <c r="H52" s="1" t="s">
        <v>56</v>
      </c>
      <c r="I52" s="1">
        <v>50</v>
      </c>
      <c r="J52" s="1" t="e" vm="12">
        <f>_xlfn.SINGLE(_xlfn.IMAGE("https://flagcdn.com/w40/gb-sct.png"))</f>
        <v>#VALUE!</v>
      </c>
      <c r="K52" s="1" t="s">
        <v>22</v>
      </c>
      <c r="L52" s="1" t="e" vm="9">
        <f>_xlfn.SINGLE(_xlfn.IMAGE("https://flagcdn.com/w40/br.png"))</f>
        <v>#VALUE!</v>
      </c>
      <c r="M52" s="1" t="s">
        <v>19</v>
      </c>
      <c r="N52"/>
    </row>
    <row r="53" spans="8:14" x14ac:dyDescent="0.3">
      <c r="H53" s="1" t="s">
        <v>56</v>
      </c>
      <c r="I53" s="1">
        <v>51</v>
      </c>
      <c r="J53" s="1" t="e" vm="10">
        <f>_xlfn.SINGLE(_xlfn.IMAGE("https://flagcdn.com/w40/ma.png"))</f>
        <v>#VALUE!</v>
      </c>
      <c r="K53" s="1" t="s">
        <v>20</v>
      </c>
      <c r="L53" s="1" t="e" vm="11">
        <f>_xlfn.SINGLE(_xlfn.IMAGE("https://flagcdn.com/w40/ht.png"))</f>
        <v>#VALUE!</v>
      </c>
      <c r="M53" s="1" t="s">
        <v>21</v>
      </c>
      <c r="N53"/>
    </row>
    <row r="54" spans="8:14" x14ac:dyDescent="0.3">
      <c r="H54" s="1" t="s">
        <v>59</v>
      </c>
      <c r="I54" s="1">
        <v>52</v>
      </c>
      <c r="J54" s="1" t="e" vm="4">
        <f>_xlfn.IMAGE("https://flagcdn.com/w40/cz.png")</f>
        <v>#VALUE!</v>
      </c>
      <c r="K54" s="1" t="s">
        <v>11</v>
      </c>
      <c r="L54" s="1" t="e" vm="1">
        <f>_xlfn.IMAGE("https://flagcdn.com/w40/mx.png")</f>
        <v>#VALUE!</v>
      </c>
      <c r="M54" s="1" t="s">
        <v>9</v>
      </c>
      <c r="N54"/>
    </row>
    <row r="55" spans="8:14" x14ac:dyDescent="0.3">
      <c r="H55" s="1" t="s">
        <v>59</v>
      </c>
      <c r="I55" s="1">
        <v>53</v>
      </c>
      <c r="J55" s="1" t="e" vm="2">
        <f>_xlfn.IMAGE("https://flagcdn.com/w40/za.png")</f>
        <v>#VALUE!</v>
      </c>
      <c r="K55" s="1" t="s">
        <v>10</v>
      </c>
      <c r="L55" s="1" t="e" vm="3">
        <f>_xlfn.IMAGE("https://flagcdn.com/w40/kr.png")</f>
        <v>#VALUE!</v>
      </c>
      <c r="M55" s="1" t="s">
        <v>73</v>
      </c>
      <c r="N55"/>
    </row>
    <row r="56" spans="8:14" x14ac:dyDescent="0.3">
      <c r="H56" s="1" t="s">
        <v>59</v>
      </c>
      <c r="I56" s="1">
        <v>54</v>
      </c>
      <c r="J56" s="1" t="e" vm="16">
        <f>_xlfn.SINGLE(_xlfn.IMAGE("https://flagcdn.com/w40/cw.png"))</f>
        <v>#VALUE!</v>
      </c>
      <c r="K56" s="1" t="s">
        <v>31</v>
      </c>
      <c r="L56" s="1" t="e" vm="19">
        <f>_xlfn.SINGLE(_xlfn.IMAGE("https://flagcdn.com/w40/ci.png"))</f>
        <v>#VALUE!</v>
      </c>
      <c r="M56" s="1" t="s">
        <v>32</v>
      </c>
      <c r="N56"/>
    </row>
    <row r="57" spans="8:14" x14ac:dyDescent="0.3">
      <c r="H57" s="1" t="s">
        <v>59</v>
      </c>
      <c r="I57" s="1">
        <v>55</v>
      </c>
      <c r="J57" s="1" t="e" vm="20">
        <f>_xlfn.SINGLE(_xlfn.IMAGE("https://flagcdn.com/w40/ec.png"))</f>
        <v>#VALUE!</v>
      </c>
      <c r="K57" s="1" t="s">
        <v>33</v>
      </c>
      <c r="L57" s="1" t="e" vm="15">
        <f>_xlfn.SINGLE(_xlfn.IMAGE("https://flagcdn.com/w40/de.png"))</f>
        <v>#VALUE!</v>
      </c>
      <c r="M57" s="1" t="s">
        <v>30</v>
      </c>
      <c r="N57"/>
    </row>
    <row r="58" spans="8:14" x14ac:dyDescent="0.3">
      <c r="H58" s="1" t="s">
        <v>62</v>
      </c>
      <c r="I58" s="1">
        <v>56</v>
      </c>
      <c r="J58" s="1" t="e" vm="18">
        <f>_xlfn.SINGLE(_xlfn.IMAGE("https://flagcdn.com/w40/jp.png"))</f>
        <v>#VALUE!</v>
      </c>
      <c r="K58" s="1" t="s">
        <v>36</v>
      </c>
      <c r="L58" s="1" t="e" vm="21">
        <f>_xlfn.SINGLE(_xlfn.IMAGE("https://flagcdn.com/w40/se.png"))</f>
        <v>#VALUE!</v>
      </c>
      <c r="M58" s="1" t="s">
        <v>38</v>
      </c>
      <c r="N58"/>
    </row>
    <row r="59" spans="8:14" x14ac:dyDescent="0.3">
      <c r="H59" s="1" t="s">
        <v>62</v>
      </c>
      <c r="I59" s="1">
        <v>57</v>
      </c>
      <c r="J59" s="1" t="e" vm="22">
        <f>_xlfn.SINGLE(_xlfn.IMAGE("https://flagcdn.com/w40/tn.png"))</f>
        <v>#VALUE!</v>
      </c>
      <c r="K59" s="1" t="s">
        <v>39</v>
      </c>
      <c r="L59" s="1" t="e" vm="17">
        <f>_xlfn.SINGLE(_xlfn.IMAGE("https://flagcdn.com/w40/nl.png"))</f>
        <v>#VALUE!</v>
      </c>
      <c r="M59" s="1" t="s">
        <v>35</v>
      </c>
      <c r="N59"/>
    </row>
    <row r="60" spans="8:14" x14ac:dyDescent="0.3">
      <c r="H60" s="1" t="s">
        <v>62</v>
      </c>
      <c r="I60" s="1">
        <v>58</v>
      </c>
      <c r="J60" s="1" t="e" vm="14">
        <f>_xlfn.SINGLE(_xlfn.IMAGE("https://flagcdn.com/w40/tr.png"))</f>
        <v>#VALUE!</v>
      </c>
      <c r="K60" s="1" t="s">
        <v>74</v>
      </c>
      <c r="L60" s="1" t="e" vm="47">
        <f>_xlfn.SINGLE(_xlfn.IMAGE("https://flagcdn.com/w40/us.png"))</f>
        <v>#VALUE!</v>
      </c>
      <c r="M60" s="1" t="s">
        <v>24</v>
      </c>
      <c r="N60"/>
    </row>
    <row r="61" spans="8:14" x14ac:dyDescent="0.3">
      <c r="H61" s="1" t="s">
        <v>62</v>
      </c>
      <c r="I61" s="1">
        <v>59</v>
      </c>
      <c r="J61" s="1" t="e" vm="48">
        <f>_xlfn.SINGLE(_xlfn.IMAGE("https://flagcdn.com/w40/py.png"))</f>
        <v>#VALUE!</v>
      </c>
      <c r="K61" s="1" t="s">
        <v>25</v>
      </c>
      <c r="L61" s="1" t="e" vm="13">
        <f>_xlfn.SINGLE(_xlfn.IMAGE("https://flagcdn.com/w40/au.png"))</f>
        <v>#VALUE!</v>
      </c>
      <c r="M61" s="1" t="s">
        <v>27</v>
      </c>
      <c r="N61"/>
    </row>
    <row r="62" spans="8:14" x14ac:dyDescent="0.3">
      <c r="H62" s="1" t="s">
        <v>62</v>
      </c>
      <c r="I62" s="1">
        <v>60</v>
      </c>
      <c r="J62" s="1" t="e" vm="34">
        <f>_xlfn.SINGLE(_xlfn.IMAGE("https://flagcdn.com/w40/no.png"))</f>
        <v>#VALUE!</v>
      </c>
      <c r="K62" s="1" t="s">
        <v>55</v>
      </c>
      <c r="L62" s="1" t="e" vm="31">
        <f>_xlfn.SINGLE(_xlfn.IMAGE("https://flagcdn.com/w40/fr.png"))</f>
        <v>#VALUE!</v>
      </c>
      <c r="M62" s="1" t="s">
        <v>52</v>
      </c>
      <c r="N62"/>
    </row>
    <row r="63" spans="8:14" x14ac:dyDescent="0.3">
      <c r="H63" s="1" t="s">
        <v>62</v>
      </c>
      <c r="I63" s="1">
        <v>61</v>
      </c>
      <c r="J63" s="1" t="e" vm="32">
        <f>_xlfn.SINGLE(_xlfn.IMAGE("https://flagcdn.com/w40/sn.png"))</f>
        <v>#VALUE!</v>
      </c>
      <c r="K63" s="1" t="s">
        <v>53</v>
      </c>
      <c r="L63" s="1" t="e" vm="33">
        <f>_xlfn.SINGLE(_xlfn.IMAGE("https://flagcdn.com/w40/iq.png"))</f>
        <v>#VALUE!</v>
      </c>
      <c r="M63" s="1" t="s">
        <v>54</v>
      </c>
      <c r="N63"/>
    </row>
    <row r="64" spans="8:14" x14ac:dyDescent="0.3">
      <c r="H64" s="1" t="s">
        <v>67</v>
      </c>
      <c r="I64" s="1">
        <v>62</v>
      </c>
      <c r="J64" s="1" t="e" vm="28">
        <f>_xlfn.SINGLE(_xlfn.IMAGE("https://flagcdn.com/w40/uy.png"))</f>
        <v>#VALUE!</v>
      </c>
      <c r="K64" s="1" t="s">
        <v>50</v>
      </c>
      <c r="L64" s="1" t="e" vm="23">
        <f>_xlfn.SINGLE(_xlfn.IMAGE("https://flagcdn.com/w40/es.png"))</f>
        <v>#VALUE!</v>
      </c>
      <c r="M64" s="1" t="s">
        <v>46</v>
      </c>
      <c r="N64"/>
    </row>
    <row r="65" spans="8:14" x14ac:dyDescent="0.3">
      <c r="H65" s="1" t="s">
        <v>67</v>
      </c>
      <c r="I65" s="1">
        <v>63</v>
      </c>
      <c r="J65" s="1" t="e" vm="24">
        <f>_xlfn.SINGLE(_xlfn.IMAGE("https://flagcdn.com/w40/cv.png"))</f>
        <v>#VALUE!</v>
      </c>
      <c r="K65" s="1" t="s">
        <v>47</v>
      </c>
      <c r="L65" s="1" t="e" vm="27">
        <f>_xlfn.SINGLE(_xlfn.IMAGE("https://flagcdn.com/w40/sa.png"))</f>
        <v>#VALUE!</v>
      </c>
      <c r="M65" s="1" t="s">
        <v>49</v>
      </c>
      <c r="N65"/>
    </row>
    <row r="66" spans="8:14" x14ac:dyDescent="0.3">
      <c r="H66" s="1" t="s">
        <v>67</v>
      </c>
      <c r="I66" s="1">
        <v>64</v>
      </c>
      <c r="J66" s="1" t="e" vm="26">
        <f>_xlfn.SINGLE(_xlfn.IMAGE("https://flagcdn.com/w40/eg.png"))</f>
        <v>#VALUE!</v>
      </c>
      <c r="K66" s="1" t="s">
        <v>42</v>
      </c>
      <c r="L66" s="1" t="e" vm="29">
        <f>_xlfn.SINGLE(_xlfn.IMAGE("https://flagcdn.com/w40/ir.png"))</f>
        <v>#VALUE!</v>
      </c>
      <c r="M66" s="1" t="s">
        <v>43</v>
      </c>
      <c r="N66"/>
    </row>
    <row r="67" spans="8:14" x14ac:dyDescent="0.3">
      <c r="H67" s="1" t="s">
        <v>67</v>
      </c>
      <c r="I67" s="1">
        <v>65</v>
      </c>
      <c r="J67" s="1" t="e" vm="30">
        <f>_xlfn.SINGLE(_xlfn.IMAGE("https://flagcdn.com/w40/nz.png"))</f>
        <v>#VALUE!</v>
      </c>
      <c r="K67" s="1" t="s">
        <v>44</v>
      </c>
      <c r="L67" s="1" t="e" vm="25">
        <f>_xlfn.SINGLE(_xlfn.IMAGE("https://flagcdn.com/w40/be.png"))</f>
        <v>#VALUE!</v>
      </c>
      <c r="M67" s="1" t="s">
        <v>41</v>
      </c>
      <c r="N67"/>
    </row>
    <row r="68" spans="8:14" x14ac:dyDescent="0.3">
      <c r="H68" s="1" t="s">
        <v>67</v>
      </c>
      <c r="I68" s="1">
        <v>66</v>
      </c>
      <c r="J68" s="1" t="e" vm="44">
        <f>_xlfn.SINGLE(_xlfn.IMAGE("https://flagcdn.com/w40/pa.png"))</f>
        <v>#VALUE!</v>
      </c>
      <c r="K68" s="1" t="s">
        <v>72</v>
      </c>
      <c r="L68" s="1" t="e" vm="41">
        <f>_xlfn.SINGLE(_xlfn.IMAGE("https://flagcdn.com/w40/gb-eng.png"))</f>
        <v>#VALUE!</v>
      </c>
      <c r="M68" s="1" t="s">
        <v>68</v>
      </c>
      <c r="N68"/>
    </row>
    <row r="69" spans="8:14" x14ac:dyDescent="0.3">
      <c r="H69" s="1" t="s">
        <v>67</v>
      </c>
      <c r="I69" s="1">
        <v>67</v>
      </c>
      <c r="J69" s="1" t="e" vm="42">
        <f>_xlfn.SINGLE(_xlfn.IMAGE("https://flagcdn.com/w40/hr.png"))</f>
        <v>#VALUE!</v>
      </c>
      <c r="K69" s="1" t="s">
        <v>69</v>
      </c>
      <c r="L69" s="1" t="e" vm="43">
        <f>_xlfn.SINGLE(_xlfn.IMAGE("https://flagcdn.com/w40/gh.png"))</f>
        <v>#VALUE!</v>
      </c>
      <c r="M69" s="1" t="s">
        <v>71</v>
      </c>
      <c r="N69"/>
    </row>
    <row r="70" spans="8:14" x14ac:dyDescent="0.3">
      <c r="H70" s="1" t="s">
        <v>70</v>
      </c>
      <c r="I70" s="1">
        <v>68</v>
      </c>
      <c r="J70" s="1" t="e" vm="40">
        <f>_xlfn.SINGLE(_xlfn.IMAGE("https://flagcdn.com/w40/cd.png"))</f>
        <v>#VALUE!</v>
      </c>
      <c r="K70" s="1" t="s">
        <v>64</v>
      </c>
      <c r="L70" s="1" t="e" vm="45">
        <f>_xlfn.SINGLE(_xlfn.IMAGE("https://flagcdn.com/w40/uz.png"))</f>
        <v>#VALUE!</v>
      </c>
      <c r="M70" s="1" t="s">
        <v>65</v>
      </c>
      <c r="N70"/>
    </row>
    <row r="71" spans="8:14" x14ac:dyDescent="0.3">
      <c r="H71" s="1" t="s">
        <v>70</v>
      </c>
      <c r="I71" s="1">
        <v>69</v>
      </c>
      <c r="J71" s="1" t="e" vm="46">
        <f>_xlfn.SINGLE(_xlfn.IMAGE("https://flagcdn.com/w40/co.png"))</f>
        <v>#VALUE!</v>
      </c>
      <c r="K71" s="1" t="s">
        <v>66</v>
      </c>
      <c r="L71" s="1" t="e" vm="39">
        <f>_xlfn.SINGLE(_xlfn.IMAGE("https://flagcdn.com/w40/pt.png"))</f>
        <v>#VALUE!</v>
      </c>
      <c r="M71" s="1" t="s">
        <v>63</v>
      </c>
      <c r="N71"/>
    </row>
    <row r="72" spans="8:14" x14ac:dyDescent="0.3">
      <c r="H72" s="1" t="s">
        <v>70</v>
      </c>
      <c r="I72" s="1">
        <v>70</v>
      </c>
      <c r="J72" s="1" t="e" vm="38">
        <f>_xlfn.SINGLE(_xlfn.IMAGE("https://flagcdn.com/w40/jo.png"))</f>
        <v>#VALUE!</v>
      </c>
      <c r="K72" s="1" t="s">
        <v>61</v>
      </c>
      <c r="L72" s="1" t="e" vm="35">
        <f>_xlfn.SINGLE(_xlfn.IMAGE("https://flagcdn.com/w40/ar.png"))</f>
        <v>#VALUE!</v>
      </c>
      <c r="M72" s="1" t="s">
        <v>57</v>
      </c>
      <c r="N72"/>
    </row>
    <row r="73" spans="8:14" x14ac:dyDescent="0.3">
      <c r="H73" s="1" t="s">
        <v>70</v>
      </c>
      <c r="I73" s="1">
        <v>71</v>
      </c>
      <c r="J73" s="1" t="e" vm="36">
        <f>_xlfn.SINGLE(_xlfn.IMAGE("https://flagcdn.com/w40/dz.png"))</f>
        <v>#VALUE!</v>
      </c>
      <c r="K73" s="1" t="s">
        <v>58</v>
      </c>
      <c r="L73" s="1" t="e" vm="37">
        <f>_xlfn.SINGLE(_xlfn.IMAGE("https://flagcdn.com/w40/at.png"))</f>
        <v>#VALUE!</v>
      </c>
      <c r="M73" s="1" t="s">
        <v>60</v>
      </c>
      <c r="N73"/>
    </row>
    <row r="74" spans="8:14" x14ac:dyDescent="0.3">
      <c r="H74" s="1" t="s">
        <v>70</v>
      </c>
      <c r="I74" s="1">
        <v>72</v>
      </c>
      <c r="J74" s="1" t="e" vm="46">
        <f>_xlfn.SINGLE(_xlfn.IMAGE("https://flagcdn.com/w40/co.png"))</f>
        <v>#VALUE!</v>
      </c>
      <c r="K74" s="1" t="s">
        <v>66</v>
      </c>
      <c r="L74" s="1" t="e" vm="39">
        <f>_xlfn.SINGLE(_xlfn.IMAGE("https://flagcdn.com/w40/pt.png"))</f>
        <v>#VALUE!</v>
      </c>
      <c r="M74" s="1" t="s">
        <v>63</v>
      </c>
      <c r="N74"/>
    </row>
    <row r="75" spans="8:14" x14ac:dyDescent="0.3">
      <c r="H75" s="1" t="s">
        <v>70</v>
      </c>
      <c r="I75" s="1">
        <v>73</v>
      </c>
      <c r="J75" s="1" t="e" vm="38">
        <f>_xlfn.SINGLE(_xlfn.IMAGE("https://flagcdn.com/w40/jo.png"))</f>
        <v>#VALUE!</v>
      </c>
      <c r="K75" s="1" t="s">
        <v>61</v>
      </c>
      <c r="L75" s="1" t="e" vm="35">
        <f>_xlfn.SINGLE(_xlfn.IMAGE("https://flagcdn.com/w40/ar.png"))</f>
        <v>#VALUE!</v>
      </c>
      <c r="M75" s="1" t="s">
        <v>57</v>
      </c>
      <c r="N75"/>
    </row>
    <row r="76" spans="8:14" x14ac:dyDescent="0.3">
      <c r="H76" s="1" t="s">
        <v>70</v>
      </c>
      <c r="I76" s="1">
        <v>74</v>
      </c>
      <c r="J76" s="1" t="e" vm="36">
        <f>_xlfn.SINGLE(_xlfn.IMAGE("https://flagcdn.com/w40/dz.png"))</f>
        <v>#VALUE!</v>
      </c>
      <c r="K76" s="1" t="s">
        <v>58</v>
      </c>
      <c r="L76" s="1" t="e" vm="37">
        <f>_xlfn.SINGLE(_xlfn.IMAGE("https://flagcdn.com/w40/at.png"))</f>
        <v>#VALUE!</v>
      </c>
      <c r="M76" s="1" t="s">
        <v>60</v>
      </c>
      <c r="N7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Infrastructure World Cup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Gillian Hepburn</cp:lastModifiedBy>
  <dcterms:created xsi:type="dcterms:W3CDTF">2026-06-05T13:47:36Z</dcterms:created>
  <dcterms:modified xsi:type="dcterms:W3CDTF">2026-06-05T16:44:37Z</dcterms:modified>
</cp:coreProperties>
</file>